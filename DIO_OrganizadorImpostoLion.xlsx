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jajac\Downloads\"/>
    </mc:Choice>
  </mc:AlternateContent>
  <xr:revisionPtr revIDLastSave="0" documentId="13_ncr:1_{E265770C-AEE3-4180-89D6-28423580F364}" xr6:coauthVersionLast="47" xr6:coauthVersionMax="47" xr10:uidLastSave="{00000000-0000-0000-0000-000000000000}"/>
  <bookViews>
    <workbookView xWindow="-120" yWindow="-120" windowWidth="20730" windowHeight="11160" tabRatio="0" firstSheet="2" activeTab="2" xr2:uid="{1C1F6274-6663-434E-B6B1-2886BA4432A3}"/>
  </bookViews>
  <sheets>
    <sheet name="TITULAR" sheetId="3" r:id="rId1"/>
    <sheet name="INFORMES" sheetId="4" r:id="rId2"/>
    <sheet name="NOTAS" sheetId="6" r:id="rId3"/>
    <sheet name="Bancos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<sst xmlns="http://schemas.openxmlformats.org/spreadsheetml/2006/main" count="106" uniqueCount="96">
  <si>
    <t>104 - Caixa Econômica Federal</t>
  </si>
  <si>
    <t>260 - Nubank</t>
  </si>
  <si>
    <t>654 - Banco AJ Renner</t>
  </si>
  <si>
    <t>218 - Banco Bonsucesso</t>
  </si>
  <si>
    <t>237 - Banco Bradesco</t>
  </si>
  <si>
    <t>208 - Banco BTG Pactual</t>
  </si>
  <si>
    <t>44 - Banco BVA</t>
  </si>
  <si>
    <t>241 - Banco Clássico</t>
  </si>
  <si>
    <t>229 - Banco Cruzeiro do Sul</t>
  </si>
  <si>
    <t>3 - Banco da Amazônia</t>
  </si>
  <si>
    <t>707 - Banco Daycoval</t>
  </si>
  <si>
    <t>250 - Banco de Crédito e Varejo (BCV)</t>
  </si>
  <si>
    <t>24 - Banco de Pernambuco</t>
  </si>
  <si>
    <t>1 - Banco do Brasil</t>
  </si>
  <si>
    <t>37 - Banco do Estado do Pará</t>
  </si>
  <si>
    <t>29 - Banco do Estado do Rio de Janeiro</t>
  </si>
  <si>
    <t>41 - Banco do Estado do Rio Grande do Sul</t>
  </si>
  <si>
    <t>4 - Banco do Nordeste do Brasil</t>
  </si>
  <si>
    <t>734 - Banco Gerdau</t>
  </si>
  <si>
    <t>604 - Banco Industrial do Brasil</t>
  </si>
  <si>
    <t>77 - Banco Inter</t>
  </si>
  <si>
    <t>74 - Banco J. Safra</t>
  </si>
  <si>
    <t>79 - Banco JBS</t>
  </si>
  <si>
    <t>65 - Banco Lemon</t>
  </si>
  <si>
    <t>600 - Banco Luso Brasileiro</t>
  </si>
  <si>
    <t>746 - Banco Modal</t>
  </si>
  <si>
    <t>66 - Banco Morgan Stanley</t>
  </si>
  <si>
    <t>735 - Banco Neon</t>
  </si>
  <si>
    <t>212 - Banco Original</t>
  </si>
  <si>
    <t>72 - Banco Rural Mais</t>
  </si>
  <si>
    <t>422 - Banco Safra</t>
  </si>
  <si>
    <t>33 - Banco Santander</t>
  </si>
  <si>
    <t>749 - Banco Simples</t>
  </si>
  <si>
    <t>464 - Banco Sumitomo Mitsui Brasileiro</t>
  </si>
  <si>
    <t>82 - Banco Topázio</t>
  </si>
  <si>
    <t>634 - Banco Triângulo</t>
  </si>
  <si>
    <t>655 - Banco Votorantim</t>
  </si>
  <si>
    <t>610 - Banco VR</t>
  </si>
  <si>
    <t>119 - Banco Western Union do Brasil</t>
  </si>
  <si>
    <t>336 - C6 Bank</t>
  </si>
  <si>
    <t>477 - Citibank</t>
  </si>
  <si>
    <t>62 - Hipercard Banco Múltiplo</t>
  </si>
  <si>
    <t>341 - Itaú Unibanco</t>
  </si>
  <si>
    <t>197 - Stone Pagamentos</t>
  </si>
  <si>
    <t>290 - PagBank</t>
  </si>
  <si>
    <t>380 - PicPay</t>
  </si>
  <si>
    <t>184 - Banco Itaú BBA S.A.</t>
  </si>
  <si>
    <t>748 - Banco Cooperativo Sicredi S.A.</t>
  </si>
  <si>
    <t>102 - XP Investimentos CCTVM S.A.</t>
  </si>
  <si>
    <t>376 - Banco JPMorgan S.A.</t>
  </si>
  <si>
    <t>NOME</t>
  </si>
  <si>
    <t>CPF</t>
  </si>
  <si>
    <t>NASCIMENTO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</si>
  <si>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</si>
  <si>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</si>
  <si>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</si>
  <si>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</si>
  <si>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</si>
  <si>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</si>
  <si>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</si>
  <si>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</si>
  <si>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</si>
  <si>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</si>
  <si>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TÍTULO DE ELEITOR</t>
  </si>
  <si>
    <t>1. DADOS DO TITULAR</t>
  </si>
  <si>
    <t>Preencha os dados da sua pessoa física abaixo</t>
  </si>
  <si>
    <t>Jacqueline Kiddo</t>
  </si>
  <si>
    <t>NÃO</t>
  </si>
  <si>
    <t>SIM</t>
  </si>
  <si>
    <t>jacquelinekiddo@gmail.com</t>
  </si>
  <si>
    <t>732-5432</t>
  </si>
  <si>
    <t>Rua 53 norte</t>
  </si>
  <si>
    <t>R: 53 norte, Lt 36</t>
  </si>
  <si>
    <t>Elle Driver</t>
  </si>
  <si>
    <t>2.INFORMES DE RENDIMENTOS BANCÁRIOS</t>
  </si>
  <si>
    <t xml:space="preserve">Preencha com seus dados de cada banco </t>
  </si>
  <si>
    <t>BANCO</t>
  </si>
  <si>
    <t>VALOR ATUAL</t>
  </si>
  <si>
    <t xml:space="preserve">ANEXO📎  </t>
  </si>
  <si>
    <t>Bancos</t>
  </si>
  <si>
    <t>1º Banco</t>
  </si>
  <si>
    <t>btgpactual_2026.pdf</t>
  </si>
  <si>
    <t>2º Banco</t>
  </si>
  <si>
    <t>3º Banco</t>
  </si>
  <si>
    <t>itau_2026.pdf</t>
  </si>
  <si>
    <t>nubank_2026.pdf</t>
  </si>
  <si>
    <t>TOTAL</t>
  </si>
  <si>
    <t>3. NOTAS BANCÁRIAS OU EXTRATO DE HOLERITES</t>
  </si>
  <si>
    <t>Todos os valores de entrada mês a mês de receita</t>
  </si>
  <si>
    <t>DATA</t>
  </si>
  <si>
    <t>CATEGORIA</t>
  </si>
  <si>
    <t>VALOR</t>
  </si>
  <si>
    <t>ENTRADAS</t>
  </si>
  <si>
    <t>CNPJ</t>
  </si>
  <si>
    <t>HOLERITE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</si>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</sst>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&quot;.&quot;000&quot;.&quot;000&quot;-&quot;00"/>
    <numFmt numFmtId="165" formatCode="00000\-000"/>
    <numFmt numFmtId="167" formatCode="&quot;(&quot;00&quot;)&quot;0000&quot;-&quot;0000"/>
    <numFmt numFmtId="168" formatCode="&quot;(&quot;00&quot;)&quot;00000&quot;-&quot;0000"/>
    <numFmt numFmtId="169" formatCode="&quot;R$&quot;\ #,##0.00"/>
    <numFmt numFmtId="172" formatCode="&quot;R$&quot;\ #,##0"/>
    <numFmt numFmtId="173" formatCode="mmm\-yyyy"/>
  </numFmts>
  <fonts count="1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8" tint="-0.249977111117893"/>
      <name val="Aptos Narrow"/>
      <family val="2"/>
      <scheme val="minor"/>
    </font>
    <font>
      <sz val="11"/>
      <color theme="8" tint="-0.499984740745262"/>
      <name val="Segoe UI Light"/>
      <family val="2"/>
    </font>
    <font>
      <i/>
      <sz val="11"/>
      <color theme="1" tint="0.249977111117893"/>
      <name val="Aptos Narrow"/>
      <scheme val="minor"/>
    </font>
    <font>
      <sz val="11"/>
      <color theme="1" tint="0.249977111117893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b/>
      <sz val="14"/>
      <color rgb="FF9C5700"/>
      <name val="Aptos Narrow"/>
      <scheme val="minor"/>
    </font>
    <font>
      <b/>
      <sz val="11"/>
      <color theme="0"/>
      <name val="Segoe UI Light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64CD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8" tint="-0.24994659260841701"/>
      </bottom>
      <diagonal/>
    </border>
    <border>
      <left/>
      <right/>
      <top style="thick">
        <color theme="8" tint="-0.2499465926084170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4" fillId="0" borderId="3" xfId="1" applyFont="1" applyBorder="1"/>
    <xf numFmtId="0" fontId="1" fillId="0" borderId="3" xfId="1" applyBorder="1"/>
    <xf numFmtId="0" fontId="5" fillId="0" borderId="2" xfId="0" applyFont="1" applyBorder="1" applyAlignment="1">
      <alignment horizontal="right"/>
    </xf>
    <xf numFmtId="0" fontId="6" fillId="4" borderId="4" xfId="0" applyFont="1" applyFill="1" applyBorder="1" applyAlignment="1">
      <alignment horizontal="left" vertical="center" indent="3"/>
    </xf>
    <xf numFmtId="0" fontId="7" fillId="4" borderId="4" xfId="0" applyFont="1" applyFill="1" applyBorder="1" applyAlignment="1">
      <alignment horizontal="left" vertical="center" indent="3"/>
    </xf>
    <xf numFmtId="0" fontId="9" fillId="0" borderId="0" xfId="0" applyFont="1"/>
    <xf numFmtId="0" fontId="10" fillId="5" borderId="0" xfId="0" applyFont="1" applyFill="1"/>
    <xf numFmtId="0" fontId="11" fillId="0" borderId="0" xfId="0" applyFont="1"/>
    <xf numFmtId="0" fontId="12" fillId="0" borderId="0" xfId="0" applyFont="1"/>
    <xf numFmtId="0" fontId="15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0" fontId="8" fillId="3" borderId="2" xfId="3" applyFill="1" applyBorder="1" applyAlignment="1" applyProtection="1">
      <alignment horizontal="left"/>
      <protection locked="0"/>
    </xf>
    <xf numFmtId="169" fontId="2" fillId="3" borderId="2" xfId="2" applyNumberFormat="1" applyBorder="1" applyAlignment="1" applyProtection="1">
      <alignment horizontal="left"/>
      <protection locked="0"/>
    </xf>
    <xf numFmtId="169" fontId="13" fillId="3" borderId="0" xfId="2" applyNumberFormat="1" applyFont="1" applyAlignment="1">
      <alignment horizontal="center" vertical="center"/>
    </xf>
    <xf numFmtId="173" fontId="16" fillId="0" borderId="0" xfId="0" applyNumberFormat="1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172" fontId="16" fillId="0" borderId="0" xfId="0" applyNumberFormat="1" applyFont="1" applyAlignment="1" applyProtection="1">
      <alignment horizontal="center"/>
      <protection locked="0"/>
    </xf>
    <xf numFmtId="169" fontId="16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3" formatCode="mmm\-yy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264CD"/>
      <color rgb="FFEF37BF"/>
      <color rgb="FFA35C9B"/>
      <color rgb="FFEF3787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jacqueline-abreu-exe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http://www.linkedin.com/in/jacqueline-abreu-exe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DIO_OrganizadorImpostoLion.xlsx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jacqueline-abreu-exe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542925</xdr:colOff>
      <xdr:row>2</xdr:row>
      <xdr:rowOff>209550</xdr:rowOff>
    </xdr:from>
    <xdr:to>
      <xdr:col>0</xdr:col>
      <xdr:colOff>1562100</xdr:colOff>
      <xdr:row>7</xdr:row>
      <xdr:rowOff>28575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26F2B64-F27D-433C-AC59-E71841164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590550"/>
          <a:ext cx="101917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38100</xdr:colOff>
      <xdr:row>0</xdr:row>
      <xdr:rowOff>133350</xdr:rowOff>
    </xdr:from>
    <xdr:to>
      <xdr:col>0</xdr:col>
      <xdr:colOff>2066925</xdr:colOff>
      <xdr:row>2</xdr:row>
      <xdr:rowOff>104775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0A1E0FA-5CCE-448D-9E6E-21DCB1862CF7}"/>
            </a:ext>
          </a:extLst>
        </xdr:cNvPr>
        <xdr:cNvSpPr/>
      </xdr:nvSpPr>
      <xdr:spPr>
        <a:xfrm>
          <a:off x="38100" y="133350"/>
          <a:ext cx="2028825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5">
                      <a:lumMod val="11000"/>
                      <a:lumOff val="89000"/>
                    </a:schemeClr>
                  </a:gs>
                  <a:gs pos="81000">
                    <a:srgbClr val="A35C9B"/>
                  </a:gs>
                  <a:gs pos="62000">
                    <a:schemeClr val="accent5">
                      <a:lumMod val="40000"/>
                      <a:lumOff val="6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</a:gradFill>
              <a:latin typeface="Arial Black" panose="020B0A04020102020204" pitchFamily="34" charset="0"/>
            </a:rPr>
            <a:t>LION </a:t>
          </a:r>
          <a:r>
            <a:rPr lang="pt-BR" sz="2000" b="1">
              <a:gradFill flip="none" rotWithShape="1">
                <a:gsLst>
                  <a:gs pos="0">
                    <a:schemeClr val="accent5">
                      <a:lumMod val="11000"/>
                      <a:lumOff val="89000"/>
                    </a:schemeClr>
                  </a:gs>
                  <a:gs pos="81000">
                    <a:srgbClr val="A35C9B"/>
                  </a:gs>
                  <a:gs pos="62000">
                    <a:schemeClr val="accent5">
                      <a:lumMod val="40000"/>
                      <a:lumOff val="6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119062</xdr:colOff>
      <xdr:row>8</xdr:row>
      <xdr:rowOff>66675</xdr:rowOff>
    </xdr:from>
    <xdr:to>
      <xdr:col>0</xdr:col>
      <xdr:colOff>1985962</xdr:colOff>
      <xdr:row>10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A626FF-ED99-46CE-8323-1C85FFCF7C12}"/>
            </a:ext>
          </a:extLst>
        </xdr:cNvPr>
        <xdr:cNvSpPr/>
      </xdr:nvSpPr>
      <xdr:spPr>
        <a:xfrm>
          <a:off x="119062" y="1800225"/>
          <a:ext cx="1866900" cy="428625"/>
        </a:xfrm>
        <a:prstGeom prst="roundRect">
          <a:avLst>
            <a:gd name="adj" fmla="val 50000"/>
          </a:avLst>
        </a:prstGeom>
        <a:gradFill flip="none" rotWithShape="1">
          <a:gsLst>
            <a:gs pos="24000">
              <a:srgbClr val="A35C9B">
                <a:lumMod val="96000"/>
                <a:lumOff val="4000"/>
              </a:srgbClr>
            </a:gs>
            <a:gs pos="88000">
              <a:schemeClr val="accent5">
                <a:lumMod val="59000"/>
              </a:schemeClr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TITULAR</a:t>
          </a:r>
        </a:p>
      </xdr:txBody>
    </xdr:sp>
    <xdr:clientData/>
  </xdr:twoCellAnchor>
  <xdr:twoCellAnchor editAs="absolute">
    <xdr:from>
      <xdr:col>0</xdr:col>
      <xdr:colOff>119062</xdr:colOff>
      <xdr:row>11</xdr:row>
      <xdr:rowOff>47625</xdr:rowOff>
    </xdr:from>
    <xdr:to>
      <xdr:col>0</xdr:col>
      <xdr:colOff>1985962</xdr:colOff>
      <xdr:row>13</xdr:row>
      <xdr:rowOff>57150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4FE1AF-FDCA-4EB8-897D-E19DFCC5882D}"/>
            </a:ext>
          </a:extLst>
        </xdr:cNvPr>
        <xdr:cNvSpPr/>
      </xdr:nvSpPr>
      <xdr:spPr>
        <a:xfrm>
          <a:off x="119062" y="2409825"/>
          <a:ext cx="18669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INFORMES</a:t>
          </a:r>
        </a:p>
      </xdr:txBody>
    </xdr:sp>
    <xdr:clientData/>
  </xdr:twoCellAnchor>
  <xdr:twoCellAnchor editAs="absolute">
    <xdr:from>
      <xdr:col>0</xdr:col>
      <xdr:colOff>119062</xdr:colOff>
      <xdr:row>14</xdr:row>
      <xdr:rowOff>28575</xdr:rowOff>
    </xdr:from>
    <xdr:to>
      <xdr:col>0</xdr:col>
      <xdr:colOff>1985962</xdr:colOff>
      <xdr:row>16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F3E38A-D505-4645-A363-1DDA6F8747A7}"/>
            </a:ext>
          </a:extLst>
        </xdr:cNvPr>
        <xdr:cNvSpPr/>
      </xdr:nvSpPr>
      <xdr:spPr>
        <a:xfrm>
          <a:off x="119062" y="3019425"/>
          <a:ext cx="18669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NOTAS</a:t>
          </a:r>
        </a:p>
      </xdr:txBody>
    </xdr:sp>
    <xdr:clientData/>
  </xdr:twoCellAnchor>
  <xdr:twoCellAnchor editAs="absolute">
    <xdr:from>
      <xdr:col>0</xdr:col>
      <xdr:colOff>825500</xdr:colOff>
      <xdr:row>17</xdr:row>
      <xdr:rowOff>127000</xdr:rowOff>
    </xdr:from>
    <xdr:to>
      <xdr:col>0</xdr:col>
      <xdr:colOff>1254125</xdr:colOff>
      <xdr:row>19</xdr:row>
      <xdr:rowOff>117475</xdr:rowOff>
    </xdr:to>
    <xdr:pic>
      <xdr:nvPicPr>
        <xdr:cNvPr id="12" name="icon_link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10F370-8CA8-46DE-9E92-68F3456799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68" t="6493" r="17347" b="7792"/>
        <a:stretch/>
      </xdr:blipFill>
      <xdr:spPr bwMode="auto">
        <a:xfrm>
          <a:off x="825500" y="3746500"/>
          <a:ext cx="4286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2933700</xdr:colOff>
      <xdr:row>19</xdr:row>
      <xdr:rowOff>123825</xdr:rowOff>
    </xdr:from>
    <xdr:to>
      <xdr:col>3</xdr:col>
      <xdr:colOff>2962274</xdr:colOff>
      <xdr:row>21</xdr:row>
      <xdr:rowOff>47625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02812A-A941-4541-B718-D272490AFB81}"/>
            </a:ext>
          </a:extLst>
        </xdr:cNvPr>
        <xdr:cNvSpPr/>
      </xdr:nvSpPr>
      <xdr:spPr>
        <a:xfrm>
          <a:off x="5762625" y="4162425"/>
          <a:ext cx="2971799" cy="28575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542925</xdr:colOff>
      <xdr:row>2</xdr:row>
      <xdr:rowOff>209550</xdr:rowOff>
    </xdr:from>
    <xdr:to>
      <xdr:col>0</xdr:col>
      <xdr:colOff>1562100</xdr:colOff>
      <xdr:row>6</xdr:row>
      <xdr:rowOff>238125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8D19205C-76FC-44D2-A24E-A12341D1C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590550"/>
          <a:ext cx="101917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38100</xdr:colOff>
      <xdr:row>0</xdr:row>
      <xdr:rowOff>133350</xdr:rowOff>
    </xdr:from>
    <xdr:to>
      <xdr:col>0</xdr:col>
      <xdr:colOff>2066925</xdr:colOff>
      <xdr:row>2</xdr:row>
      <xdr:rowOff>104775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EC7910B-7599-4ED7-80FB-5F12F211E290}"/>
            </a:ext>
          </a:extLst>
        </xdr:cNvPr>
        <xdr:cNvSpPr/>
      </xdr:nvSpPr>
      <xdr:spPr>
        <a:xfrm>
          <a:off x="38100" y="133350"/>
          <a:ext cx="2028825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5">
                      <a:lumMod val="11000"/>
                      <a:lumOff val="89000"/>
                    </a:schemeClr>
                  </a:gs>
                  <a:gs pos="81000">
                    <a:srgbClr val="A35C9B"/>
                  </a:gs>
                  <a:gs pos="62000">
                    <a:schemeClr val="accent5">
                      <a:lumMod val="40000"/>
                      <a:lumOff val="6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</a:gradFill>
              <a:latin typeface="Arial Black" panose="020B0A04020102020204" pitchFamily="34" charset="0"/>
            </a:rPr>
            <a:t>LION </a:t>
          </a:r>
          <a:r>
            <a:rPr lang="pt-BR" sz="2000" b="1">
              <a:gradFill flip="none" rotWithShape="1">
                <a:gsLst>
                  <a:gs pos="0">
                    <a:schemeClr val="accent5">
                      <a:lumMod val="11000"/>
                      <a:lumOff val="89000"/>
                    </a:schemeClr>
                  </a:gs>
                  <a:gs pos="81000">
                    <a:srgbClr val="A35C9B"/>
                  </a:gs>
                  <a:gs pos="62000">
                    <a:schemeClr val="accent5">
                      <a:lumMod val="40000"/>
                      <a:lumOff val="6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119062</xdr:colOff>
      <xdr:row>8</xdr:row>
      <xdr:rowOff>38100</xdr:rowOff>
    </xdr:from>
    <xdr:to>
      <xdr:col>0</xdr:col>
      <xdr:colOff>1985962</xdr:colOff>
      <xdr:row>10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1187A9-1462-41E5-8D35-6FAC2A8FF29D}"/>
            </a:ext>
          </a:extLst>
        </xdr:cNvPr>
        <xdr:cNvSpPr/>
      </xdr:nvSpPr>
      <xdr:spPr>
        <a:xfrm>
          <a:off x="119062" y="1800225"/>
          <a:ext cx="18669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TITULAR</a:t>
          </a:r>
        </a:p>
      </xdr:txBody>
    </xdr:sp>
    <xdr:clientData/>
  </xdr:twoCellAnchor>
  <xdr:twoCellAnchor editAs="absolute">
    <xdr:from>
      <xdr:col>0</xdr:col>
      <xdr:colOff>119062</xdr:colOff>
      <xdr:row>11</xdr:row>
      <xdr:rowOff>47625</xdr:rowOff>
    </xdr:from>
    <xdr:to>
      <xdr:col>0</xdr:col>
      <xdr:colOff>1985962</xdr:colOff>
      <xdr:row>13</xdr:row>
      <xdr:rowOff>85725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D4E9F7-D2C3-462F-A650-B71226CBC7DD}"/>
            </a:ext>
          </a:extLst>
        </xdr:cNvPr>
        <xdr:cNvSpPr/>
      </xdr:nvSpPr>
      <xdr:spPr>
        <a:xfrm>
          <a:off x="119062" y="2409825"/>
          <a:ext cx="1866900" cy="428625"/>
        </a:xfrm>
        <a:prstGeom prst="roundRect">
          <a:avLst>
            <a:gd name="adj" fmla="val 50000"/>
          </a:avLst>
        </a:prstGeom>
        <a:gradFill flip="none" rotWithShape="1">
          <a:gsLst>
            <a:gs pos="24000">
              <a:srgbClr val="A35C9B">
                <a:lumMod val="96000"/>
                <a:lumOff val="4000"/>
              </a:srgbClr>
            </a:gs>
            <a:gs pos="88000">
              <a:schemeClr val="accent5">
                <a:lumMod val="59000"/>
              </a:schemeClr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INFORMES</a:t>
          </a:r>
        </a:p>
      </xdr:txBody>
    </xdr:sp>
    <xdr:clientData/>
  </xdr:twoCellAnchor>
  <xdr:twoCellAnchor editAs="absolute">
    <xdr:from>
      <xdr:col>0</xdr:col>
      <xdr:colOff>119062</xdr:colOff>
      <xdr:row>14</xdr:row>
      <xdr:rowOff>85725</xdr:rowOff>
    </xdr:from>
    <xdr:to>
      <xdr:col>0</xdr:col>
      <xdr:colOff>1985962</xdr:colOff>
      <xdr:row>16</xdr:row>
      <xdr:rowOff>95250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01D2163-E184-4860-A77F-7D1A6C8B22C2}"/>
            </a:ext>
          </a:extLst>
        </xdr:cNvPr>
        <xdr:cNvSpPr/>
      </xdr:nvSpPr>
      <xdr:spPr>
        <a:xfrm>
          <a:off x="119062" y="3019425"/>
          <a:ext cx="18669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NOTAS</a:t>
          </a:r>
        </a:p>
      </xdr:txBody>
    </xdr:sp>
    <xdr:clientData/>
  </xdr:twoCellAnchor>
  <xdr:twoCellAnchor editAs="absolute">
    <xdr:from>
      <xdr:col>0</xdr:col>
      <xdr:colOff>885825</xdr:colOff>
      <xdr:row>16</xdr:row>
      <xdr:rowOff>152400</xdr:rowOff>
    </xdr:from>
    <xdr:to>
      <xdr:col>0</xdr:col>
      <xdr:colOff>1314450</xdr:colOff>
      <xdr:row>18</xdr:row>
      <xdr:rowOff>171450</xdr:rowOff>
    </xdr:to>
    <xdr:pic>
      <xdr:nvPicPr>
        <xdr:cNvPr id="8" name="Imagem 7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246838-E0B5-49F0-8860-72CA8C986E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43059" t="311476" r="378773" b="-297191"/>
        <a:stretch/>
      </xdr:blipFill>
      <xdr:spPr bwMode="auto">
        <a:xfrm>
          <a:off x="885825" y="3505200"/>
          <a:ext cx="4286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825500</xdr:colOff>
      <xdr:row>18</xdr:row>
      <xdr:rowOff>3175</xdr:rowOff>
    </xdr:from>
    <xdr:to>
      <xdr:col>0</xdr:col>
      <xdr:colOff>1254125</xdr:colOff>
      <xdr:row>20</xdr:row>
      <xdr:rowOff>22225</xdr:rowOff>
    </xdr:to>
    <xdr:pic>
      <xdr:nvPicPr>
        <xdr:cNvPr id="9" name="icon_link" descr="Linkedin Logo White PNGs for Free Download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5BE2170-F080-43D0-ACD5-605FEAF6AC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68" t="6493" r="17347" b="7792"/>
        <a:stretch/>
      </xdr:blipFill>
      <xdr:spPr bwMode="auto">
        <a:xfrm>
          <a:off x="825500" y="3746500"/>
          <a:ext cx="4286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9524</xdr:colOff>
      <xdr:row>24</xdr:row>
      <xdr:rowOff>104775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E1CA2D-2D53-4780-8C90-9C96B45FE5DC}"/>
            </a:ext>
          </a:extLst>
        </xdr:cNvPr>
        <xdr:cNvSpPr/>
      </xdr:nvSpPr>
      <xdr:spPr>
        <a:xfrm>
          <a:off x="5772150" y="4733925"/>
          <a:ext cx="2971799" cy="28575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/>
            <a:t>PRÓXIMO</a:t>
          </a:r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3</xdr:col>
      <xdr:colOff>28574</xdr:colOff>
      <xdr:row>24</xdr:row>
      <xdr:rowOff>104775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CF1300-86AE-4A99-B94E-6EC82E58C639}"/>
            </a:ext>
          </a:extLst>
        </xdr:cNvPr>
        <xdr:cNvSpPr/>
      </xdr:nvSpPr>
      <xdr:spPr>
        <a:xfrm>
          <a:off x="2828925" y="4733925"/>
          <a:ext cx="2971799" cy="28575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/>
            <a:t>VOLTAR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542925</xdr:colOff>
      <xdr:row>2</xdr:row>
      <xdr:rowOff>209550</xdr:rowOff>
    </xdr:from>
    <xdr:to>
      <xdr:col>0</xdr:col>
      <xdr:colOff>1562100</xdr:colOff>
      <xdr:row>7</xdr:row>
      <xdr:rowOff>57150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23BBC7D4-2CA4-458E-A587-2D9A39E7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590550"/>
          <a:ext cx="101917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38100</xdr:colOff>
      <xdr:row>0</xdr:row>
      <xdr:rowOff>133350</xdr:rowOff>
    </xdr:from>
    <xdr:to>
      <xdr:col>0</xdr:col>
      <xdr:colOff>2066925</xdr:colOff>
      <xdr:row>2</xdr:row>
      <xdr:rowOff>104775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7BB8516-C74E-4C19-8608-A7CB586FA9FE}"/>
            </a:ext>
          </a:extLst>
        </xdr:cNvPr>
        <xdr:cNvSpPr/>
      </xdr:nvSpPr>
      <xdr:spPr>
        <a:xfrm>
          <a:off x="38100" y="133350"/>
          <a:ext cx="2028825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accent5">
                      <a:lumMod val="11000"/>
                      <a:lumOff val="89000"/>
                    </a:schemeClr>
                  </a:gs>
                  <a:gs pos="81000">
                    <a:srgbClr val="A35C9B"/>
                  </a:gs>
                  <a:gs pos="62000">
                    <a:schemeClr val="accent5">
                      <a:lumMod val="40000"/>
                      <a:lumOff val="6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</a:gradFill>
              <a:latin typeface="Arial Black" panose="020B0A04020102020204" pitchFamily="34" charset="0"/>
            </a:rPr>
            <a:t>LION </a:t>
          </a:r>
          <a:r>
            <a:rPr lang="pt-BR" sz="2000" b="1">
              <a:gradFill flip="none" rotWithShape="1">
                <a:gsLst>
                  <a:gs pos="0">
                    <a:schemeClr val="accent5">
                      <a:lumMod val="11000"/>
                      <a:lumOff val="89000"/>
                    </a:schemeClr>
                  </a:gs>
                  <a:gs pos="81000">
                    <a:srgbClr val="A35C9B"/>
                  </a:gs>
                  <a:gs pos="62000">
                    <a:schemeClr val="accent5">
                      <a:lumMod val="40000"/>
                      <a:lumOff val="6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119062</xdr:colOff>
      <xdr:row>8</xdr:row>
      <xdr:rowOff>95250</xdr:rowOff>
    </xdr:from>
    <xdr:to>
      <xdr:col>0</xdr:col>
      <xdr:colOff>1985962</xdr:colOff>
      <xdr:row>10</xdr:row>
      <xdr:rowOff>104775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80CF05-123E-4AC9-AD43-40010BA357B3}"/>
            </a:ext>
          </a:extLst>
        </xdr:cNvPr>
        <xdr:cNvSpPr/>
      </xdr:nvSpPr>
      <xdr:spPr>
        <a:xfrm>
          <a:off x="119062" y="1800225"/>
          <a:ext cx="18669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TITULAR</a:t>
          </a:r>
        </a:p>
      </xdr:txBody>
    </xdr:sp>
    <xdr:clientData/>
  </xdr:twoCellAnchor>
  <xdr:twoCellAnchor editAs="absolute">
    <xdr:from>
      <xdr:col>0</xdr:col>
      <xdr:colOff>119062</xdr:colOff>
      <xdr:row>11</xdr:row>
      <xdr:rowOff>76200</xdr:rowOff>
    </xdr:from>
    <xdr:to>
      <xdr:col>0</xdr:col>
      <xdr:colOff>1985962</xdr:colOff>
      <xdr:row>13</xdr:row>
      <xdr:rowOff>85725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98F64DF-952C-4703-AA21-B14B7C2217B0}"/>
            </a:ext>
          </a:extLst>
        </xdr:cNvPr>
        <xdr:cNvSpPr/>
      </xdr:nvSpPr>
      <xdr:spPr>
        <a:xfrm>
          <a:off x="119062" y="2409825"/>
          <a:ext cx="18669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INFORMES</a:t>
          </a:r>
        </a:p>
      </xdr:txBody>
    </xdr:sp>
    <xdr:clientData/>
  </xdr:twoCellAnchor>
  <xdr:twoCellAnchor editAs="absolute">
    <xdr:from>
      <xdr:col>0</xdr:col>
      <xdr:colOff>119062</xdr:colOff>
      <xdr:row>14</xdr:row>
      <xdr:rowOff>57150</xdr:rowOff>
    </xdr:from>
    <xdr:to>
      <xdr:col>0</xdr:col>
      <xdr:colOff>1985962</xdr:colOff>
      <xdr:row>16</xdr:row>
      <xdr:rowOff>66675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83307A-F2F1-42DF-AD82-302C06201CEC}"/>
            </a:ext>
          </a:extLst>
        </xdr:cNvPr>
        <xdr:cNvSpPr/>
      </xdr:nvSpPr>
      <xdr:spPr>
        <a:xfrm>
          <a:off x="119062" y="3019425"/>
          <a:ext cx="1866900" cy="428625"/>
        </a:xfrm>
        <a:prstGeom prst="roundRect">
          <a:avLst>
            <a:gd name="adj" fmla="val 50000"/>
          </a:avLst>
        </a:prstGeom>
        <a:gradFill flip="none" rotWithShape="1">
          <a:gsLst>
            <a:gs pos="24000">
              <a:srgbClr val="A35C9B">
                <a:lumMod val="96000"/>
                <a:lumOff val="4000"/>
              </a:srgbClr>
            </a:gs>
            <a:gs pos="88000">
              <a:schemeClr val="accent5">
                <a:lumMod val="59000"/>
              </a:schemeClr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NOTAS</a:t>
          </a:r>
        </a:p>
      </xdr:txBody>
    </xdr:sp>
    <xdr:clientData/>
  </xdr:twoCellAnchor>
  <xdr:twoCellAnchor editAs="absolute">
    <xdr:from>
      <xdr:col>0</xdr:col>
      <xdr:colOff>825500</xdr:colOff>
      <xdr:row>17</xdr:row>
      <xdr:rowOff>155575</xdr:rowOff>
    </xdr:from>
    <xdr:to>
      <xdr:col>0</xdr:col>
      <xdr:colOff>1254125</xdr:colOff>
      <xdr:row>19</xdr:row>
      <xdr:rowOff>146050</xdr:rowOff>
    </xdr:to>
    <xdr:pic>
      <xdr:nvPicPr>
        <xdr:cNvPr id="8" name="icon_link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375DF9B-DCA3-42B1-823E-51224B5CD4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68" t="6493" r="17347" b="7792"/>
        <a:stretch/>
      </xdr:blipFill>
      <xdr:spPr bwMode="auto">
        <a:xfrm>
          <a:off x="825500" y="3746500"/>
          <a:ext cx="4286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9526</xdr:colOff>
      <xdr:row>4</xdr:row>
      <xdr:rowOff>95250</xdr:rowOff>
    </xdr:from>
    <xdr:to>
      <xdr:col>3</xdr:col>
      <xdr:colOff>19050</xdr:colOff>
      <xdr:row>5</xdr:row>
      <xdr:rowOff>133350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C1395C-E347-4A1D-98A5-BDACB05EE0B6}"/>
            </a:ext>
          </a:extLst>
        </xdr:cNvPr>
        <xdr:cNvSpPr/>
      </xdr:nvSpPr>
      <xdr:spPr>
        <a:xfrm>
          <a:off x="2838451" y="1019175"/>
          <a:ext cx="1247774" cy="21907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/>
            <a:t>VOLTAR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96F32-D32C-4A4C-842E-C0DA3161DD77}" name="Tabela1" displayName="Tabela1" ref="C8:E35" totalsRowShown="0" headerRowDxfId="4" dataDxfId="0">
  <autoFilter ref="C8:E35" xr:uid="{53C96F32-D32C-4A4C-842E-C0DA3161DD77}"/>
  <tableColumns count="3">
    <tableColumn id="1" xr3:uid="{DBE3DA43-8FDF-4EC5-A25B-725B34860B76}" name="DATA" dataDxfId="3"/>
    <tableColumn id="2" xr3:uid="{F29186E3-B654-41C5-9DAF-BB9E71C248F5}" name="CATEGORIA" dataDxfId="2"/>
    <tableColumn id="3" xr3:uid="{83655F1F-546E-4D6E-AE5E-1C45E2741D3A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cquelinekiddo@gmail.com?subject=Ol&#225;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61C6-D98A-4883-A6FE-418C4C24874A}">
  <sheetPr codeName="Planilha1"/>
  <dimension ref="A2:F19"/>
  <sheetViews>
    <sheetView showGridLines="0" showRowColHeaders="0" workbookViewId="0">
      <selection activeCell="D19" sqref="D19"/>
    </sheetView>
  </sheetViews>
  <sheetFormatPr defaultRowHeight="14.25"/>
  <cols>
    <col min="1" max="1" width="28.125" style="1" customWidth="1"/>
    <col min="3" max="3" width="38.625" customWidth="1"/>
    <col min="4" max="4" width="38.875" customWidth="1"/>
  </cols>
  <sheetData>
    <row r="2" spans="3:5" ht="15.75" customHeight="1"/>
    <row r="3" spans="3:5" ht="20.25" thickBot="1">
      <c r="C3" s="3" t="s">
        <v>64</v>
      </c>
      <c r="D3" s="4"/>
      <c r="E3" s="4"/>
    </row>
    <row r="4" spans="3:5" ht="22.5" customHeight="1" thickTop="1">
      <c r="C4" s="6" t="s">
        <v>65</v>
      </c>
      <c r="D4" s="7"/>
      <c r="E4" s="7"/>
    </row>
    <row r="6" spans="3:5" ht="16.5">
      <c r="C6" s="2" t="s">
        <v>50</v>
      </c>
      <c r="D6" s="14" t="s">
        <v>66</v>
      </c>
    </row>
    <row r="7" spans="3:5" ht="16.5">
      <c r="C7" s="2" t="s">
        <v>51</v>
      </c>
      <c r="D7" s="15">
        <v>66216537168</v>
      </c>
    </row>
    <row r="8" spans="3:5" ht="16.5">
      <c r="C8" s="2" t="s">
        <v>52</v>
      </c>
      <c r="D8" s="16">
        <v>32827</v>
      </c>
    </row>
    <row r="9" spans="3:5" ht="16.5">
      <c r="C9" s="2" t="s">
        <v>63</v>
      </c>
      <c r="D9" s="14">
        <v>567346587</v>
      </c>
    </row>
    <row r="10" spans="3:5" ht="16.5">
      <c r="C10" s="2" t="s">
        <v>53</v>
      </c>
      <c r="D10" s="14" t="s">
        <v>73</v>
      </c>
    </row>
    <row r="11" spans="3:5" ht="16.5">
      <c r="C11" s="2" t="s">
        <v>54</v>
      </c>
      <c r="D11" s="14" t="s">
        <v>71</v>
      </c>
    </row>
    <row r="12" spans="3:5" ht="16.5">
      <c r="C12" s="5" t="s">
        <v>55</v>
      </c>
      <c r="D12" s="14" t="s">
        <v>72</v>
      </c>
    </row>
    <row r="13" spans="3:5" ht="16.5">
      <c r="C13" s="2" t="s">
        <v>56</v>
      </c>
      <c r="D13" s="17" t="s">
        <v>70</v>
      </c>
    </row>
    <row r="14" spans="3:5" ht="16.5">
      <c r="C14" s="2" t="s">
        <v>57</v>
      </c>
      <c r="D14" s="18">
        <v>6133546725</v>
      </c>
    </row>
    <row r="15" spans="3:5" ht="16.5">
      <c r="C15" s="2" t="s">
        <v>58</v>
      </c>
      <c r="D15" s="19">
        <v>61998576621</v>
      </c>
    </row>
    <row r="16" spans="3:5" ht="16.5">
      <c r="C16" s="2" t="s">
        <v>59</v>
      </c>
      <c r="D16" s="20" t="s">
        <v>69</v>
      </c>
    </row>
    <row r="17" spans="3:6" ht="16.5">
      <c r="C17" s="2" t="s">
        <v>60</v>
      </c>
      <c r="D17" s="14" t="s">
        <v>68</v>
      </c>
      <c r="F17" s="8"/>
    </row>
    <row r="18" spans="3:6" ht="16.5">
      <c r="C18" s="2" t="s">
        <v>61</v>
      </c>
      <c r="D18" s="14" t="s">
        <v>67</v>
      </c>
    </row>
    <row r="19" spans="3:6" ht="16.5">
      <c r="C19" s="2" t="s">
        <v>62</v>
      </c>
      <c r="D19" s="14" t="s">
        <v>68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3308445-3E98-48FA-9A76-B2E19E7E4C3C}">
      <formula1>"SIM,NÃO"</formula1>
    </dataValidation>
  </dataValidations>
  <hyperlinks>
    <hyperlink ref="D16" r:id="rId1" xr:uid="{1EED0FCA-16C4-49F4-8A99-33891514964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4D73-21C1-43C9-ABB2-4D73937E3C03}">
  <sheetPr codeName="Planilha2"/>
  <dimension ref="A2:E22"/>
  <sheetViews>
    <sheetView showGridLines="0" showRowColHeaders="0" workbookViewId="0">
      <selection activeCell="D10" sqref="D10"/>
    </sheetView>
  </sheetViews>
  <sheetFormatPr defaultRowHeight="14.25"/>
  <cols>
    <col min="1" max="1" width="28.125" style="1" customWidth="1"/>
    <col min="3" max="3" width="38.625" customWidth="1"/>
    <col min="4" max="4" width="38.875" customWidth="1"/>
  </cols>
  <sheetData>
    <row r="2" spans="3:5" ht="15.75" customHeight="1"/>
    <row r="3" spans="3:5" ht="20.25" thickBot="1">
      <c r="C3" s="3" t="s">
        <v>74</v>
      </c>
      <c r="D3" s="4"/>
      <c r="E3" s="4"/>
    </row>
    <row r="4" spans="3:5" ht="22.5" customHeight="1" thickTop="1">
      <c r="C4" s="6" t="s">
        <v>75</v>
      </c>
      <c r="D4" s="7"/>
      <c r="E4" s="7"/>
    </row>
    <row r="6" spans="3:5" ht="16.5">
      <c r="C6" s="11" t="s">
        <v>86</v>
      </c>
    </row>
    <row r="7" spans="3:5" ht="21" customHeight="1">
      <c r="C7" s="22">
        <f>SUM(D11,D16,D21)</f>
        <v>2423166.37</v>
      </c>
      <c r="D7" s="22"/>
      <c r="E7" s="22"/>
    </row>
    <row r="9" spans="3:5">
      <c r="C9" s="10" t="s">
        <v>80</v>
      </c>
    </row>
    <row r="10" spans="3:5" ht="16.5">
      <c r="C10" s="2" t="s">
        <v>76</v>
      </c>
      <c r="D10" s="14" t="s">
        <v>5</v>
      </c>
    </row>
    <row r="11" spans="3:5" ht="16.5">
      <c r="C11" s="2" t="s">
        <v>77</v>
      </c>
      <c r="D11" s="21">
        <v>1575943.37</v>
      </c>
    </row>
    <row r="12" spans="3:5" ht="16.5">
      <c r="C12" s="2" t="s">
        <v>78</v>
      </c>
      <c r="D12" s="14" t="s">
        <v>81</v>
      </c>
    </row>
    <row r="14" spans="3:5">
      <c r="C14" s="10" t="s">
        <v>82</v>
      </c>
    </row>
    <row r="15" spans="3:5" ht="16.5">
      <c r="C15" s="2" t="s">
        <v>76</v>
      </c>
      <c r="D15" s="14" t="s">
        <v>46</v>
      </c>
    </row>
    <row r="16" spans="3:5" ht="16.5">
      <c r="C16" s="2" t="s">
        <v>77</v>
      </c>
      <c r="D16" s="21">
        <v>593756</v>
      </c>
    </row>
    <row r="17" spans="3:4" ht="16.5">
      <c r="C17" s="2" t="s">
        <v>78</v>
      </c>
      <c r="D17" s="14" t="s">
        <v>84</v>
      </c>
    </row>
    <row r="19" spans="3:4">
      <c r="C19" s="10" t="s">
        <v>83</v>
      </c>
    </row>
    <row r="20" spans="3:4" ht="16.5">
      <c r="C20" s="2" t="s">
        <v>76</v>
      </c>
      <c r="D20" s="14" t="s">
        <v>1</v>
      </c>
    </row>
    <row r="21" spans="3:4" ht="16.5">
      <c r="C21" s="2" t="s">
        <v>77</v>
      </c>
      <c r="D21" s="21">
        <v>253467</v>
      </c>
    </row>
    <row r="22" spans="3:4" ht="16.5">
      <c r="C22" s="2" t="s">
        <v>78</v>
      </c>
      <c r="D22" s="14" t="s">
        <v>85</v>
      </c>
    </row>
  </sheetData>
  <sheetProtection sheet="1" objects="1" scenarios="1" selectLockedCells="1"/>
  <mergeCells count="2">
    <mergeCell ref="C4:E4"/>
    <mergeCell ref="C7:E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Banco vinculado ao seu CPF" xr:uid="{44A4DE3F-5DA2-4A27-91BD-E4EB574073DC}">
          <x14:formula1>
            <xm:f>Bancos!$A$2:$A$51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A049-C08C-4DD7-ABBB-AD2CFC0DCD58}">
  <sheetPr codeName="Planilha3"/>
  <dimension ref="A2:E35"/>
  <sheetViews>
    <sheetView showGridLines="0" showRowColHeaders="0" tabSelected="1" workbookViewId="0">
      <selection activeCell="D11" sqref="D11"/>
    </sheetView>
  </sheetViews>
  <sheetFormatPr defaultRowHeight="14.25"/>
  <cols>
    <col min="1" max="1" width="28.125" style="1" customWidth="1"/>
    <col min="3" max="3" width="16.25" customWidth="1"/>
    <col min="4" max="4" width="38.75" customWidth="1"/>
    <col min="5" max="5" width="14.875" customWidth="1"/>
  </cols>
  <sheetData>
    <row r="2" spans="3:5" ht="15.75" customHeight="1"/>
    <row r="3" spans="3:5" ht="20.25" thickBot="1">
      <c r="C3" s="3" t="s">
        <v>87</v>
      </c>
      <c r="D3" s="4"/>
      <c r="E3" s="4"/>
    </row>
    <row r="4" spans="3:5" ht="22.5" customHeight="1" thickTop="1">
      <c r="C4" s="6" t="s">
        <v>88</v>
      </c>
      <c r="D4" s="7"/>
      <c r="E4" s="7"/>
    </row>
    <row r="7" spans="3:5" ht="16.5">
      <c r="C7" s="13" t="s">
        <v>92</v>
      </c>
      <c r="D7" s="13"/>
      <c r="E7" s="13"/>
    </row>
    <row r="8" spans="3:5" ht="16.5">
      <c r="C8" s="12" t="s">
        <v>89</v>
      </c>
      <c r="D8" s="12" t="s">
        <v>90</v>
      </c>
      <c r="E8" s="12" t="s">
        <v>91</v>
      </c>
    </row>
    <row r="9" spans="3:5" ht="16.5">
      <c r="C9" s="23">
        <v>46313</v>
      </c>
      <c r="D9" s="24" t="s">
        <v>93</v>
      </c>
      <c r="E9" s="25">
        <v>37985</v>
      </c>
    </row>
    <row r="10" spans="3:5" ht="16.5">
      <c r="C10" s="23"/>
      <c r="D10" s="24" t="s">
        <v>94</v>
      </c>
      <c r="E10" s="26"/>
    </row>
    <row r="11" spans="3:5" ht="16.5">
      <c r="C11" s="23"/>
      <c r="D11" s="24" t="s">
        <v>95</v>
      </c>
      <c r="E11" s="26"/>
    </row>
    <row r="12" spans="3:5" ht="16.5">
      <c r="C12" s="23"/>
      <c r="D12" s="24"/>
      <c r="E12" s="26"/>
    </row>
    <row r="13" spans="3:5" ht="16.5">
      <c r="C13" s="23"/>
      <c r="D13" s="24"/>
      <c r="E13" s="26"/>
    </row>
    <row r="14" spans="3:5" ht="16.5">
      <c r="C14" s="23"/>
      <c r="D14" s="24"/>
      <c r="E14" s="26"/>
    </row>
    <row r="15" spans="3:5" ht="16.5">
      <c r="C15" s="23"/>
      <c r="D15" s="24"/>
      <c r="E15" s="26"/>
    </row>
    <row r="16" spans="3:5" ht="16.5">
      <c r="C16" s="23"/>
      <c r="D16" s="24"/>
      <c r="E16" s="26"/>
    </row>
    <row r="17" spans="3:5" ht="16.5">
      <c r="C17" s="23"/>
      <c r="D17" s="24"/>
      <c r="E17" s="26"/>
    </row>
    <row r="18" spans="3:5" ht="16.5">
      <c r="C18" s="23"/>
      <c r="D18" s="24"/>
      <c r="E18" s="26"/>
    </row>
    <row r="19" spans="3:5" ht="16.5">
      <c r="C19" s="23"/>
      <c r="D19" s="24"/>
      <c r="E19" s="26"/>
    </row>
    <row r="20" spans="3:5" ht="16.5">
      <c r="C20" s="23"/>
      <c r="D20" s="24"/>
      <c r="E20" s="26"/>
    </row>
    <row r="21" spans="3:5" ht="16.5">
      <c r="C21" s="23"/>
      <c r="D21" s="24"/>
      <c r="E21" s="26"/>
    </row>
    <row r="22" spans="3:5" ht="16.5">
      <c r="C22" s="23"/>
      <c r="D22" s="24"/>
      <c r="E22" s="26"/>
    </row>
    <row r="23" spans="3:5" ht="16.5">
      <c r="C23" s="23"/>
      <c r="D23" s="24"/>
      <c r="E23" s="26"/>
    </row>
    <row r="24" spans="3:5" ht="16.5">
      <c r="C24" s="23"/>
      <c r="D24" s="24"/>
      <c r="E24" s="26"/>
    </row>
    <row r="25" spans="3:5" ht="16.5">
      <c r="C25" s="23"/>
      <c r="D25" s="24"/>
      <c r="E25" s="26"/>
    </row>
    <row r="26" spans="3:5" ht="16.5">
      <c r="C26" s="23"/>
      <c r="D26" s="24"/>
      <c r="E26" s="26"/>
    </row>
    <row r="27" spans="3:5" ht="16.5">
      <c r="C27" s="23"/>
      <c r="D27" s="24"/>
      <c r="E27" s="26"/>
    </row>
    <row r="28" spans="3:5" ht="16.5">
      <c r="C28" s="23"/>
      <c r="D28" s="24"/>
      <c r="E28" s="26"/>
    </row>
    <row r="29" spans="3:5" ht="16.5">
      <c r="C29" s="23"/>
      <c r="D29" s="24"/>
      <c r="E29" s="26"/>
    </row>
    <row r="30" spans="3:5" ht="16.5">
      <c r="C30" s="23"/>
      <c r="D30" s="24"/>
      <c r="E30" s="26"/>
    </row>
    <row r="31" spans="3:5" ht="16.5">
      <c r="C31" s="23"/>
      <c r="D31" s="24"/>
      <c r="E31" s="26"/>
    </row>
    <row r="32" spans="3:5" ht="16.5">
      <c r="C32" s="23"/>
      <c r="D32" s="24"/>
      <c r="E32" s="26"/>
    </row>
    <row r="33" spans="3:5" ht="16.5">
      <c r="C33" s="23"/>
      <c r="D33" s="24"/>
      <c r="E33" s="26"/>
    </row>
    <row r="34" spans="3:5" ht="16.5">
      <c r="C34" s="23"/>
      <c r="D34" s="24"/>
      <c r="E34" s="26"/>
    </row>
    <row r="35" spans="3:5" ht="16.5">
      <c r="C35" s="23"/>
      <c r="D35" s="24"/>
      <c r="E35" s="26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4E7F0208-BF46-478D-8F70-C41C986610BA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2ADC-D5E3-44BA-A2E5-53ADC16609A3}">
  <sheetPr codeName="Planilha4"/>
  <dimension ref="A1:D51"/>
  <sheetViews>
    <sheetView showGridLines="0" topLeftCell="A29" workbookViewId="0">
      <selection activeCell="E48" sqref="E48"/>
    </sheetView>
  </sheetViews>
  <sheetFormatPr defaultRowHeight="14.25"/>
  <cols>
    <col min="1" max="1" width="37.125" bestFit="1" customWidth="1"/>
  </cols>
  <sheetData>
    <row r="1" spans="1:4" ht="15">
      <c r="A1" s="9" t="s">
        <v>79</v>
      </c>
      <c r="B1" s="9"/>
      <c r="C1" s="9"/>
      <c r="D1" s="9"/>
    </row>
    <row r="2" spans="1:4">
      <c r="A2" t="s">
        <v>13</v>
      </c>
    </row>
    <row r="3" spans="1:4">
      <c r="A3" t="s">
        <v>48</v>
      </c>
    </row>
    <row r="4" spans="1:4">
      <c r="A4" t="s">
        <v>0</v>
      </c>
    </row>
    <row r="5" spans="1:4">
      <c r="A5" t="s">
        <v>38</v>
      </c>
    </row>
    <row r="6" spans="1:4">
      <c r="A6" t="s">
        <v>46</v>
      </c>
    </row>
    <row r="7" spans="1:4">
      <c r="A7" t="s">
        <v>43</v>
      </c>
    </row>
    <row r="8" spans="1:4">
      <c r="A8" t="s">
        <v>5</v>
      </c>
    </row>
    <row r="9" spans="1:4">
      <c r="A9" t="s">
        <v>28</v>
      </c>
    </row>
    <row r="10" spans="1:4">
      <c r="A10" t="s">
        <v>3</v>
      </c>
    </row>
    <row r="11" spans="1:4">
      <c r="A11" t="s">
        <v>8</v>
      </c>
    </row>
    <row r="12" spans="1:4">
      <c r="A12" t="s">
        <v>4</v>
      </c>
    </row>
    <row r="13" spans="1:4">
      <c r="A13" t="s">
        <v>12</v>
      </c>
    </row>
    <row r="14" spans="1:4">
      <c r="A14" t="s">
        <v>7</v>
      </c>
    </row>
    <row r="15" spans="1:4">
      <c r="A15" t="s">
        <v>11</v>
      </c>
    </row>
    <row r="16" spans="1:4">
      <c r="A16" t="s">
        <v>1</v>
      </c>
    </row>
    <row r="17" spans="1:1">
      <c r="A17" t="s">
        <v>15</v>
      </c>
    </row>
    <row r="18" spans="1:1">
      <c r="A18" t="s">
        <v>44</v>
      </c>
    </row>
    <row r="19" spans="1:1">
      <c r="A19" t="s">
        <v>9</v>
      </c>
    </row>
    <row r="20" spans="1:1">
      <c r="A20" t="s">
        <v>31</v>
      </c>
    </row>
    <row r="21" spans="1:1">
      <c r="A21" t="s">
        <v>39</v>
      </c>
    </row>
    <row r="22" spans="1:1">
      <c r="A22" t="s">
        <v>42</v>
      </c>
    </row>
    <row r="23" spans="1:1">
      <c r="A23" t="s">
        <v>14</v>
      </c>
    </row>
    <row r="24" spans="1:1">
      <c r="A24" t="s">
        <v>49</v>
      </c>
    </row>
    <row r="25" spans="1:1">
      <c r="A25" t="s">
        <v>45</v>
      </c>
    </row>
    <row r="26" spans="1:1">
      <c r="A26" t="s">
        <v>17</v>
      </c>
    </row>
    <row r="27" spans="1:1">
      <c r="A27" t="s">
        <v>16</v>
      </c>
    </row>
    <row r="28" spans="1:1">
      <c r="A28" t="s">
        <v>30</v>
      </c>
    </row>
    <row r="29" spans="1:1">
      <c r="A29" t="s">
        <v>6</v>
      </c>
    </row>
    <row r="30" spans="1:1">
      <c r="A30" t="s">
        <v>33</v>
      </c>
    </row>
    <row r="31" spans="1:1">
      <c r="A31" t="s">
        <v>40</v>
      </c>
    </row>
    <row r="32" spans="1:1">
      <c r="A32" t="s">
        <v>24</v>
      </c>
    </row>
    <row r="33" spans="1:1">
      <c r="A33" t="s">
        <v>19</v>
      </c>
    </row>
    <row r="34" spans="1:1">
      <c r="A34" t="s">
        <v>37</v>
      </c>
    </row>
    <row r="35" spans="1:1">
      <c r="A35" t="s">
        <v>41</v>
      </c>
    </row>
    <row r="36" spans="1:1">
      <c r="A36" t="s">
        <v>35</v>
      </c>
    </row>
    <row r="37" spans="1:1">
      <c r="A37" t="s">
        <v>23</v>
      </c>
    </row>
    <row r="38" spans="1:1">
      <c r="A38" t="s">
        <v>2</v>
      </c>
    </row>
    <row r="39" spans="1:1">
      <c r="A39" t="s">
        <v>36</v>
      </c>
    </row>
    <row r="40" spans="1:1">
      <c r="A40" t="s">
        <v>26</v>
      </c>
    </row>
    <row r="41" spans="1:1">
      <c r="A41" t="s">
        <v>10</v>
      </c>
    </row>
    <row r="42" spans="1:1">
      <c r="A42" t="s">
        <v>29</v>
      </c>
    </row>
    <row r="43" spans="1:1">
      <c r="A43" t="s">
        <v>18</v>
      </c>
    </row>
    <row r="44" spans="1:1">
      <c r="A44" t="s">
        <v>27</v>
      </c>
    </row>
    <row r="45" spans="1:1">
      <c r="A45" t="s">
        <v>21</v>
      </c>
    </row>
    <row r="46" spans="1:1">
      <c r="A46" t="s">
        <v>25</v>
      </c>
    </row>
    <row r="47" spans="1:1">
      <c r="A47" t="s">
        <v>47</v>
      </c>
    </row>
    <row r="48" spans="1:1">
      <c r="A48" t="s">
        <v>32</v>
      </c>
    </row>
    <row r="49" spans="1:1">
      <c r="A49" t="s">
        <v>20</v>
      </c>
    </row>
    <row r="50" spans="1:1">
      <c r="A50" t="s">
        <v>22</v>
      </c>
    </row>
    <row r="51" spans="1:1">
      <c r="A51" t="s">
        <v>34</v>
      </c>
    </row>
  </sheetData>
  <sortState xmlns:xlrd2="http://schemas.microsoft.com/office/spreadsheetml/2017/richdata2" ref="A2:A51">
    <sortCondition ref="A2:A51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80C06D-F603-4315-BF13-982EB8576E3A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8B69849B-37F1-4594-8DF9-7938EC83CA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8F71B4-0C4E-464B-8DD1-FE385FAE2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Jacque Abreu</cp:lastModifiedBy>
  <dcterms:created xsi:type="dcterms:W3CDTF">2025-04-28T22:47:29Z</dcterms:created>
  <dcterms:modified xsi:type="dcterms:W3CDTF">2026-10-18T16:17:45Z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